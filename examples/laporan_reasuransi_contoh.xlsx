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Borderaux Premi" sheetId="1" r:id="rId4"/>
    <sheet name="Borderaux Klaim" sheetId="2" r:id="rId5"/>
    <sheet name="Ringkasan Keuangan" sheetId="3" r:id="rId6"/>
  </sheets>
  <definedNames>
    <definedName name="_xlnm._FilterDatabase" localSheetId="0" hidden="1">'Borderaux Premi'!$A$6:$H$9</definedName>
    <definedName name="_xlnm.Print_Titles" localSheetId="0">'Borderaux Premi'!$1:$6</definedName>
    <definedName name="_xlnm._FilterDatabase" localSheetId="1" hidden="1">'Borderaux Klaim'!$A$6:$J$8</definedName>
    <definedName name="_xlnm.Print_Titles" localSheetId="1">'Borderaux Klaim'!$1:$6</definedName>
    <definedName name="_xlnm.Print_Titles" localSheetId="2">'Ringkasan Keuangan'!$1:$6</definedName>
  </definedNames>
  <calcPr calcId="999999" calcMode="auto" calcCompleted="0" fullCalcOnLoad="1" forceFullCalc="0"/>
</workbook>
</file>

<file path=xl/sharedStrings.xml><?xml version="1.0" encoding="utf-8"?>
<sst xmlns="http://schemas.openxmlformats.org/spreadsheetml/2006/main" uniqueCount="61">
  <si>
    <t>No Polis</t>
  </si>
  <si>
    <t>Nama Tertanggung</t>
  </si>
  <si>
    <t>Tanggal Lahir</t>
  </si>
  <si>
    <t>Uang Pertanggungan (UP Utama)</t>
  </si>
  <si>
    <t>Sendiri (Retention)</t>
  </si>
  <si>
    <t>UP direasuransikan (Ceded)</t>
  </si>
  <si>
    <t>Jenis Reasuransi</t>
  </si>
  <si>
    <t>Premi Reasuransi</t>
  </si>
  <si>
    <t>POL-0001</t>
  </si>
  <si>
    <t>Budi Santoso</t>
  </si>
  <si>
    <t>Surplus</t>
  </si>
  <si>
    <t>POL-0002</t>
  </si>
  <si>
    <t>Siti Rahmawati</t>
  </si>
  <si>
    <t>Quota Share</t>
  </si>
  <si>
    <t>POL-0003</t>
  </si>
  <si>
    <t>Ahmad Fauzi</t>
  </si>
  <si>
    <t>Fac/Surplus</t>
  </si>
  <si>
    <t>TOTAL</t>
  </si>
  <si>
    <t>DESWA INVISCO MULTITAMA</t>
  </si>
  <si>
    <t>LAPORAN PRODUKSI &amp; PREMI REASURANSI — BORDERAUX PREMI</t>
  </si>
  <si>
    <t>No. Dok : RR-2026-09    |    Periode : September 2026    |    Tanggal Cetak : 16/09/2026 14:43</t>
  </si>
  <si>
    <t>INFORMASI POLIS</t>
  </si>
  <si>
    <t>UANG PERTANGGUNGAN (Rp)</t>
  </si>
  <si>
    <t>REASURANSI</t>
  </si>
  <si>
    <t>Dibuat oleh,</t>
  </si>
  <si>
    <t>Disetujui oleh,</t>
  </si>
  <si>
    <t>( Nama &amp; Tanda Tangan )</t>
  </si>
  <si>
    <t>Dokumen ini dibuat otomatis oleh Sistem Laporan Reasuransi pada 16/09/2026 14:43. Data disajikan sesuai input yang tercatat di sistem.</t>
  </si>
  <si>
    <t>No Klaim</t>
  </si>
  <si>
    <t>Penyebab Meninggal/Klaim</t>
  </si>
  <si>
    <t>Total Nilai Klaim</t>
  </si>
  <si>
    <t>Porsi Klaim Reasuransi (Recovery)</t>
  </si>
  <si>
    <t>Status Klaim</t>
  </si>
  <si>
    <t>KLM-0001</t>
  </si>
  <si>
    <t>Meninggal dunia akibat kecelakaan lalu lintas</t>
  </si>
  <si>
    <t>Approved</t>
  </si>
  <si>
    <t>KLM-0002</t>
  </si>
  <si>
    <t>Diagnosis penyakit kritis (jantung)</t>
  </si>
  <si>
    <t>Under Investigation</t>
  </si>
  <si>
    <t>LAPORAN KLAIM REASURANSI — BORDERAUX KLAIM</t>
  </si>
  <si>
    <t>KODE</t>
  </si>
  <si>
    <t>DATA TERTANGGUNG</t>
  </si>
  <si>
    <t>NILAI KLAIM (Rp)</t>
  </si>
  <si>
    <t>STATUS</t>
  </si>
  <si>
    <t>Metrik</t>
  </si>
  <si>
    <t>Nilai (Rp)</t>
  </si>
  <si>
    <t>Keterangan</t>
  </si>
  <si>
    <t>Premi Reasuransi Gross</t>
  </si>
  <si>
    <t>Jumlah seluruh premi reasuransi</t>
  </si>
  <si>
    <t>Tarif Komisi Reasuransi</t>
  </si>
  <si>
    <t>Persentase komisi dari premi gross</t>
  </si>
  <si>
    <t>Komisi Reasuransi</t>
  </si>
  <si>
    <t>Premi gross dikali tarif komisi</t>
  </si>
  <si>
    <t>Premi Reasuransi Netto</t>
  </si>
  <si>
    <t>Premi gross dikurangi komisi</t>
  </si>
  <si>
    <t>Recovery Klaim</t>
  </si>
  <si>
    <t>Jumlah seluruh recovery klaim</t>
  </si>
  <si>
    <t>Saldo Netto Setelah Klaim</t>
  </si>
  <si>
    <t>Premi netto dikurangi recovery klaim</t>
  </si>
  <si>
    <t>RINGKASAN AKUN KEUANGAN REASURANSI</t>
  </si>
  <si>
    <t>RINGKASAN AKUN KEUANGAN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</si>
</sst>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1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1F3864"/>
      <name val="Calibri"/>
    </font>
    <font>
      <b val="1"/>
      <i val="0"/>
      <strike val="0"/>
      <u val="none"/>
      <sz val="13"/>
      <color rgb="FF1F3864"/>
      <name val="Calibri"/>
    </font>
    <font>
      <b val="0"/>
      <i val="0"/>
      <strike val="0"/>
      <u val="none"/>
      <sz val="9"/>
      <color rgb="FF7F7F7F"/>
      <name val="Calibri"/>
    </font>
    <font>
      <b val="1"/>
      <i val="0"/>
      <strike val="0"/>
      <u val="none"/>
      <sz val="9"/>
      <color rgb="FFFFFFFF"/>
      <name val="Calibri"/>
    </font>
    <font>
      <b val="1"/>
      <i val="0"/>
      <strike val="0"/>
      <u val="none"/>
      <sz val="10"/>
      <color rgb="FFFFFFFF"/>
      <name val="Calibri"/>
    </font>
    <font>
      <b val="1"/>
      <i val="0"/>
      <strike val="0"/>
      <u val="none"/>
      <sz val="10.5"/>
      <color rgb="FF1F3864"/>
      <name val="Calibri"/>
    </font>
    <font>
      <b val="1"/>
      <i val="0"/>
      <strike val="0"/>
      <u val="none"/>
      <sz val="9"/>
      <color rgb="FF000000"/>
      <name val="Calibri"/>
    </font>
    <font>
      <b val="0"/>
      <i val="0"/>
      <strike val="0"/>
      <u val="none"/>
      <sz val="8"/>
      <color rgb="FF7F7F7F"/>
      <name val="Calibri"/>
    </font>
    <font>
      <b val="0"/>
      <i val="1"/>
      <strike val="0"/>
      <u val="none"/>
      <sz val="8"/>
      <color rgb="FF7F7F7F"/>
      <name val="Calibri"/>
    </font>
    <font>
      <b val="1"/>
      <i val="0"/>
      <strike val="0"/>
      <u val="none"/>
      <sz val="10.5"/>
      <color rgb="FFFFFF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  <fill>
      <patternFill patternType="solid">
        <fgColor rgb="FF1F3864"/>
        <bgColor rgb="FF000000"/>
      </patternFill>
    </fill>
    <fill>
      <patternFill patternType="solid">
        <fgColor rgb="FF1F4E79"/>
        <bgColor rgb="FF000000"/>
      </patternFill>
    </fill>
    <fill>
      <patternFill patternType="solid">
        <fgColor rgb="FFF2F7FC"/>
        <bgColor rgb="FF000000"/>
      </patternFill>
    </fill>
    <fill>
      <patternFill patternType="solid">
        <fgColor rgb="FFBDD7EE"/>
        <bgColor rgb="FF000000"/>
      </patternFill>
    </fill>
  </fills>
  <borders count="10">
    <border>
      <left/>
      <right/>
      <top/>
      <bottom/>
      <diagonal/>
    </border>
    <border>
      <left style="thin">
        <color rgb="FFC8CDD2"/>
      </left>
      <right style="thin">
        <color rgb="FFC8CDD2"/>
      </right>
      <top style="thin">
        <color rgb="FFC8CDD2"/>
      </top>
      <bottom style="thin">
        <color rgb="FFC8CDD2"/>
      </bottom>
      <diagonal/>
    </border>
    <border>
      <left style="medium">
        <color rgb="FF1F3864"/>
      </left>
      <right style="thin">
        <color rgb="FFC8CDD2"/>
      </right>
      <top style="medium">
        <color rgb="FF1F3864"/>
      </top>
      <bottom style="thin">
        <color rgb="FFC8CDD2"/>
      </bottom>
      <diagonal/>
    </border>
    <border>
      <left style="thin">
        <color rgb="FFC8CDD2"/>
      </left>
      <right style="thin">
        <color rgb="FFC8CDD2"/>
      </right>
      <top style="medium">
        <color rgb="FF1F3864"/>
      </top>
      <bottom style="thin">
        <color rgb="FFC8CDD2"/>
      </bottom>
      <diagonal/>
    </border>
    <border>
      <left style="thin">
        <color rgb="FFC8CDD2"/>
      </left>
      <right style="medium">
        <color rgb="FF1F3864"/>
      </right>
      <top style="medium">
        <color rgb="FF1F3864"/>
      </top>
      <bottom style="thin">
        <color rgb="FFC8CDD2"/>
      </bottom>
      <diagonal/>
    </border>
    <border>
      <left style="medium">
        <color rgb="FF1F3864"/>
      </left>
      <right style="thin">
        <color rgb="FFC8CDD2"/>
      </right>
      <top style="thin">
        <color rgb="FFC8CDD2"/>
      </top>
      <bottom style="thin">
        <color rgb="FFC8CDD2"/>
      </bottom>
      <diagonal/>
    </border>
    <border>
      <left style="thin">
        <color rgb="FFC8CDD2"/>
      </left>
      <right style="medium">
        <color rgb="FF1F3864"/>
      </right>
      <top style="thin">
        <color rgb="FFC8CDD2"/>
      </top>
      <bottom style="thin">
        <color rgb="FFC8CDD2"/>
      </bottom>
      <diagonal/>
    </border>
    <border>
      <left style="thin">
        <color rgb="FFC8CDD2"/>
      </left>
      <right style="thin">
        <color rgb="FFC8CDD2"/>
      </right>
      <top style="medium">
        <color rgb="FF2E74B5"/>
      </top>
      <bottom style="medium">
        <color rgb="FF1F3864"/>
      </bottom>
      <diagonal/>
    </border>
    <border>
      <left style="thin">
        <color rgb="FFC8CDD2"/>
      </left>
      <right style="medium">
        <color rgb="FF1F3864"/>
      </right>
      <top style="medium">
        <color rgb="FF2E74B5"/>
      </top>
      <bottom style="medium">
        <color rgb="FF1F3864"/>
      </bottom>
      <diagonal/>
    </border>
    <border>
      <left style="medium">
        <color rgb="FF1F3864"/>
      </left>
      <right style="thin">
        <color rgb="FFC8CDD2"/>
      </right>
      <top style="medium">
        <color rgb="FF2E74B5"/>
      </top>
      <bottom style="medium">
        <color rgb="FF1F3864"/>
      </bottom>
      <diagonal/>
    </border>
  </borders>
  <cellStyleXfs count="1">
    <xf numFmtId="0" fontId="0" fillId="0" borderId="0"/>
  </cellStyleXfs>
  <cellXfs count="42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center" textRotation="0" wrapText="false" shrinkToFit="false"/>
    </xf>
    <xf xfId="0" fontId="2" numFmtId="0" fillId="2" borderId="0" applyFont="1" applyNumberFormat="0" applyFill="1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3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0"/>
    <xf xfId="0" fontId="5" numFmtId="0" fillId="4" borderId="2" applyFont="1" applyNumberFormat="0" applyFill="1" applyBorder="1" applyAlignment="1">
      <alignment horizontal="center" vertical="center" textRotation="0" wrapText="true" shrinkToFit="false"/>
    </xf>
    <xf xfId="0" fontId="5" numFmtId="0" fillId="4" borderId="3" applyFont="1" applyNumberFormat="0" applyFill="1" applyBorder="1" applyAlignment="1">
      <alignment horizontal="center" vertical="center" textRotation="0" wrapText="true" shrinkToFit="false"/>
    </xf>
    <xf xfId="0" fontId="5" numFmtId="0" fillId="4" borderId="4" applyFont="1" applyNumberFormat="0" applyFill="1" applyBorder="1" applyAlignment="1">
      <alignment horizontal="center" vertical="center" textRotation="0" wrapText="true" shrinkToFit="false"/>
    </xf>
    <xf xfId="0" fontId="0" numFmtId="0" fillId="5" borderId="1" applyFont="0" applyNumberFormat="0" applyFill="1" applyBorder="1" applyAlignment="0"/>
    <xf xfId="0" fontId="0" numFmtId="0" fillId="0" borderId="5" applyFont="0" applyNumberFormat="0" applyFill="0" applyBorder="1" applyAlignment="1">
      <alignment horizontal="center" vertical="bottom" textRotation="0" wrapText="false" shrinkToFit="false"/>
    </xf>
    <xf xfId="0" fontId="0" numFmtId="0" fillId="5" borderId="5" applyFont="0" applyNumberFormat="0" applyFill="1" applyBorder="1" applyAlignment="1">
      <alignment horizontal="center" vertical="bottom" textRotation="0" wrapText="false" shrinkToFit="false"/>
    </xf>
    <xf xfId="0" fontId="0" numFmtId="164" fillId="0" borderId="1" applyFont="0" applyNumberFormat="1" applyFill="0" applyBorder="1" applyAlignment="1">
      <alignment horizontal="center" vertical="bottom" textRotation="0" wrapText="false" shrinkToFit="false"/>
    </xf>
    <xf xfId="0" fontId="0" numFmtId="164" fillId="5" borderId="1" applyFont="0" applyNumberFormat="1" applyFill="1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0" numFmtId="0" fillId="5" borderId="1" applyFont="0" applyNumberFormat="0" applyFill="1" applyBorder="1" applyAlignment="1">
      <alignment horizontal="center" vertical="bottom" textRotation="0" wrapText="false" shrinkToFit="false"/>
    </xf>
    <xf xfId="0" fontId="0" numFmtId="3" fillId="0" borderId="1" applyFont="0" applyNumberFormat="1" applyFill="0" applyBorder="1" applyAlignment="1">
      <alignment horizontal="right" vertical="bottom" textRotation="0" wrapText="false" shrinkToFit="false"/>
    </xf>
    <xf xfId="0" fontId="0" numFmtId="3" fillId="5" borderId="1" applyFont="0" applyNumberFormat="1" applyFill="1" applyBorder="1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right" vertical="bottom" textRotation="0" wrapText="false" shrinkToFit="false"/>
    </xf>
    <xf xfId="0" fontId="0" numFmtId="0" fillId="5" borderId="1" applyFont="0" applyNumberFormat="0" applyFill="1" applyBorder="1" applyAlignment="1">
      <alignment horizontal="right" vertical="bottom" textRotation="0" wrapText="false" shrinkToFit="false"/>
    </xf>
    <xf xfId="0" fontId="0" numFmtId="3" fillId="0" borderId="6" applyFont="0" applyNumberFormat="1" applyFill="0" applyBorder="1" applyAlignment="1">
      <alignment horizontal="right" vertical="bottom" textRotation="0" wrapText="false" shrinkToFit="false"/>
    </xf>
    <xf xfId="0" fontId="0" numFmtId="3" fillId="5" borderId="6" applyFont="0" applyNumberFormat="1" applyFill="1" applyBorder="1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true" shrinkToFit="false"/>
    </xf>
    <xf xfId="0" fontId="0" numFmtId="0" fillId="5" borderId="1" applyFont="0" applyNumberFormat="0" applyFill="1" applyBorder="1" applyAlignment="1">
      <alignment vertical="bottom" textRotation="0" wrapText="true" shrinkToFit="false"/>
    </xf>
    <xf xfId="0" fontId="6" numFmtId="0" fillId="6" borderId="7" applyFont="1" applyNumberFormat="0" applyFill="1" applyBorder="1" applyAlignment="1">
      <alignment vertical="center" textRotation="0" wrapText="false" shrinkToFit="false"/>
    </xf>
    <xf xfId="0" fontId="6" numFmtId="0" fillId="6" borderId="8" applyFont="1" applyNumberFormat="0" applyFill="1" applyBorder="1" applyAlignment="1">
      <alignment vertical="center" textRotation="0" wrapText="false" shrinkToFit="false"/>
    </xf>
    <xf xfId="0" fontId="6" numFmtId="3" fillId="6" borderId="8" applyFont="1" applyNumberFormat="1" applyFill="1" applyBorder="1" applyAlignment="1">
      <alignment vertical="center" textRotation="0" wrapText="false" shrinkToFit="false"/>
    </xf>
    <xf xfId="0" fontId="6" numFmtId="0" fillId="6" borderId="9" applyFont="1" applyNumberFormat="0" applyFill="1" applyBorder="1" applyAlignment="1">
      <alignment horizontal="center" vertical="center" textRotation="0" wrapText="false" shrinkToFit="false"/>
    </xf>
    <xf xfId="0" fontId="6" numFmtId="0" fillId="6" borderId="7" applyFont="1" applyNumberFormat="0" applyFill="1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8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0"/>
    <xf xfId="0" fontId="0" numFmtId="0" fillId="0" borderId="6" applyFont="0" applyNumberFormat="0" applyFill="0" applyBorder="1" applyAlignment="1">
      <alignment horizontal="center" vertical="bottom" textRotation="0" wrapText="true" shrinkToFit="false"/>
    </xf>
    <xf xfId="0" fontId="0" numFmtId="0" fillId="5" borderId="6" applyFont="0" applyNumberFormat="0" applyFill="1" applyBorder="1" applyAlignment="1">
      <alignment horizontal="center" vertical="bottom" textRotation="0" wrapText="true" shrinkToFit="false"/>
    </xf>
    <xf xfId="0" fontId="6" numFmtId="3" fillId="6" borderId="7" applyFont="1" applyNumberFormat="1" applyFill="1" applyBorder="1" applyAlignment="1">
      <alignment vertical="center" textRotation="0" wrapText="false" shrinkToFit="false"/>
    </xf>
    <xf xfId="0" fontId="0" numFmtId="0" fillId="0" borderId="5" applyFont="0" applyNumberFormat="0" applyFill="0" applyBorder="1" applyAlignment="1">
      <alignment horizontal="left" vertical="center" textRotation="0" wrapText="false" shrinkToFit="false"/>
    </xf>
    <xf xfId="0" fontId="0" numFmtId="3" fillId="0" borderId="1" applyFont="0" applyNumberFormat="1" applyFill="0" applyBorder="1" applyAlignment="1">
      <alignment horizontal="right" vertical="center" textRotation="0" wrapText="false" shrinkToFit="false"/>
    </xf>
    <xf xfId="0" fontId="0" numFmtId="165" fillId="0" borderId="1" applyFont="0" applyNumberFormat="1" applyFill="0" applyBorder="1" applyAlignment="1">
      <alignment horizontal="right" vertical="center" textRotation="0" wrapText="false" shrinkToFit="false"/>
    </xf>
    <xf xfId="0" fontId="0" numFmtId="0" fillId="0" borderId="6" applyFont="0" applyNumberFormat="0" applyFill="0" applyBorder="1" applyAlignment="1">
      <alignment horizontal="left" vertical="center" textRotation="0" wrapText="false" shrinkToFit="false"/>
    </xf>
    <xf xfId="0" fontId="10" numFmtId="0" fillId="3" borderId="9" applyFont="1" applyNumberFormat="0" applyFill="1" applyBorder="1" applyAlignment="1">
      <alignment horizontal="left" vertical="center" textRotation="0" wrapText="false" shrinkToFit="false"/>
    </xf>
    <xf xfId="0" fontId="10" numFmtId="3" fillId="3" borderId="7" applyFont="1" applyNumberFormat="1" applyFill="1" applyBorder="1" applyAlignment="1">
      <alignment horizontal="right" vertical="center" textRotation="0" wrapText="false" shrinkToFit="false"/>
    </xf>
    <xf xfId="0" fontId="10" numFmtId="0" fillId="3" borderId="8" applyFont="1" applyNumberFormat="0" applyFill="1" applyBorder="1" applyAlignment="1">
      <alignment horizontal="left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  <pageSetUpPr fitToPage="1"/>
  </sheetPr>
  <dimension ref="A1:H16"/>
  <sheetViews>
    <sheetView tabSelected="1" workbookViewId="0" showGridLines="false" showRowColHeaders="1">
      <pane ySplit="6" activePane="bottomLeft" state="frozen" topLeftCell="A7"/>
      <selection pane="bottomLeft" activeCell="A16" sqref="A16:H16"/>
    </sheetView>
  </sheetViews>
  <sheetFormatPr defaultRowHeight="14.4" outlineLevelRow="0" outlineLevelCol="0"/>
  <cols>
    <col min="1" max="1" width="16" customWidth="true" style="0"/>
    <col min="2" max="2" width="30" customWidth="true" style="0"/>
    <col min="3" max="3" width="14" customWidth="true" style="0"/>
    <col min="4" max="4" width="22" customWidth="true" style="0"/>
    <col min="5" max="5" width="20" customWidth="true" style="0"/>
    <col min="6" max="6" width="24" customWidth="true" style="0"/>
    <col min="7" max="7" width="18" customWidth="true" style="0"/>
    <col min="8" max="8" width="22" customWidth="true" style="0"/>
  </cols>
  <sheetData>
    <row r="1" spans="1:8" customHeight="1" ht="32">
      <c r="A1" s="1" t="s">
        <v>18</v>
      </c>
    </row>
    <row r="2" spans="1:8" customHeight="1" ht="7"/>
    <row r="3" spans="1:8" customHeight="1" ht="28">
      <c r="A3" s="2" t="s">
        <v>19</v>
      </c>
      <c r="B3" s="2"/>
      <c r="C3" s="2"/>
      <c r="D3" s="2"/>
      <c r="E3" s="2"/>
      <c r="F3" s="2"/>
      <c r="G3" s="2"/>
      <c r="H3" s="2"/>
    </row>
    <row r="4" spans="1:8" customHeight="1" ht="18">
      <c r="A4" s="3" t="s">
        <v>20</v>
      </c>
      <c r="B4" s="3"/>
      <c r="C4" s="3"/>
      <c r="D4" s="3"/>
      <c r="E4" s="3"/>
      <c r="F4" s="3"/>
      <c r="G4" s="3"/>
      <c r="H4" s="3"/>
    </row>
    <row r="5" spans="1:8" customHeight="1" ht="22">
      <c r="A5" s="4" t="s">
        <v>21</v>
      </c>
      <c r="B5" s="4"/>
      <c r="C5" s="4"/>
      <c r="D5" s="4" t="s">
        <v>22</v>
      </c>
      <c r="E5" s="4"/>
      <c r="F5" s="4"/>
      <c r="G5" s="4" t="s">
        <v>23</v>
      </c>
      <c r="H5" s="4"/>
    </row>
    <row r="6" spans="1:8" customHeight="1" ht="34">
      <c r="A6" s="6" t="s">
        <v>0</v>
      </c>
      <c r="B6" s="7" t="s">
        <v>1</v>
      </c>
      <c r="C6" s="7" t="s">
        <v>2</v>
      </c>
      <c r="D6" s="7" t="s">
        <v>3</v>
      </c>
      <c r="E6" s="7" t="s">
        <v>4</v>
      </c>
      <c r="F6" s="7" t="s">
        <v>5</v>
      </c>
      <c r="G6" s="7" t="s">
        <v>6</v>
      </c>
      <c r="H6" s="8" t="s">
        <v>7</v>
      </c>
    </row>
    <row r="7" spans="1:8">
      <c r="A7" s="10" t="s">
        <v>8</v>
      </c>
      <c r="B7" s="22" t="s">
        <v>9</v>
      </c>
      <c r="C7" s="12">
        <v>31118.0</v>
      </c>
      <c r="D7" s="16">
        <v>1000000000.0</v>
      </c>
      <c r="E7" s="16">
        <v>400000000.0</v>
      </c>
      <c r="F7" s="16">
        <v>600000000.0</v>
      </c>
      <c r="G7" s="18" t="s">
        <v>10</v>
      </c>
      <c r="H7" s="20">
        <v>30000000.0</v>
      </c>
    </row>
    <row r="8" spans="1:8">
      <c r="A8" s="11" t="s">
        <v>11</v>
      </c>
      <c r="B8" s="23" t="s">
        <v>12</v>
      </c>
      <c r="C8" s="13">
        <v>33079.0</v>
      </c>
      <c r="D8" s="17">
        <v>500000000.0</v>
      </c>
      <c r="E8" s="17">
        <v>100000000.0</v>
      </c>
      <c r="F8" s="17">
        <v>400000000.0</v>
      </c>
      <c r="G8" s="19" t="s">
        <v>13</v>
      </c>
      <c r="H8" s="21">
        <v>15000000.0</v>
      </c>
    </row>
    <row r="9" spans="1:8">
      <c r="A9" s="10" t="s">
        <v>14</v>
      </c>
      <c r="B9" s="22" t="s">
        <v>15</v>
      </c>
      <c r="C9" s="12">
        <v>28796.0</v>
      </c>
      <c r="D9" s="16">
        <v>750000000.0</v>
      </c>
      <c r="E9" s="16">
        <v>350000000.0</v>
      </c>
      <c r="F9" s="16">
        <v>400000000.0</v>
      </c>
      <c r="G9" s="18" t="s">
        <v>16</v>
      </c>
      <c r="H9" s="20">
        <v>15000000.0</v>
      </c>
    </row>
    <row r="10" spans="1:8">
      <c r="A10" s="27" t="s">
        <v>17</v>
      </c>
      <c r="B10" s="28"/>
      <c r="C10" s="28"/>
      <c r="D10" s="28"/>
      <c r="E10" s="28"/>
      <c r="F10" s="28"/>
      <c r="G10" s="28"/>
      <c r="H10" s="26">
        <f>SUM(H7:H9)</f>
      </c>
    </row>
    <row r="12" spans="1:8">
      <c r="A12" s="29" t="s">
        <v>24</v>
      </c>
      <c r="E12" s="29" t="s">
        <v>25</v>
      </c>
    </row>
    <row r="13" spans="1:8" customHeight="1" ht="34"/>
    <row r="14" spans="1:8">
      <c r="A14" s="30" t="s">
        <v>26</v>
      </c>
      <c r="E14" s="30" t="s">
        <v>26</v>
      </c>
    </row>
    <row r="16" spans="1:8">
      <c r="A16" s="31" t="s">
        <v>27</v>
      </c>
      <c r="B16" s="31"/>
      <c r="C16" s="31"/>
      <c r="D16" s="31"/>
      <c r="E16" s="31"/>
      <c r="F16" s="31"/>
      <c r="G16" s="31"/>
      <c r="H16" s="31"/>
    </row>
  </sheetData>
  <autoFilter ref="A6:H9"/>
  <mergeCells>
    <mergeCell ref="A1:H1"/>
    <mergeCell ref="A3:H3"/>
    <mergeCell ref="A4:H4"/>
    <mergeCell ref="A5:C5"/>
    <mergeCell ref="D5:F5"/>
    <mergeCell ref="G5:H5"/>
    <mergeCell ref="A10:G10"/>
    <mergeCell ref="A12:D12"/>
    <mergeCell ref="E12:H12"/>
    <mergeCell ref="A14:D14"/>
    <mergeCell ref="E14:H14"/>
    <mergeCell ref="A16:H16"/>
  </mergeCells>
  <printOptions gridLines="false" gridLinesSet="true"/>
  <pageMargins left="0.5" right="0.5" top="0.6" bottom="0.7" header="0.3" footer="0.3"/>
  <pageSetup paperSize="1" orientation="landscape" scale="100" fitToHeight="0" fitToWidth="1" pageOrder="downThenOver"/>
  <headerFooter differentOddEven="false" differentFirst="false" scaleWithDoc="true" alignWithMargins="true">
    <oddFooter>&amp;LDESWA INVISCO MULTITAMA&amp;CHalaman &amp;P dari &amp;N&amp;RDicetak: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  <pageSetUpPr fitToPage="1"/>
  </sheetPr>
  <dimension ref="A1:J15"/>
  <sheetViews>
    <sheetView tabSelected="0" workbookViewId="0" showGridLines="false" showRowColHeaders="1">
      <pane ySplit="6" activePane="bottomLeft" state="frozen" topLeftCell="A7"/>
      <selection pane="bottomLeft" activeCell="A15" sqref="A15:J15"/>
    </sheetView>
  </sheetViews>
  <sheetFormatPr defaultRowHeight="14.4" outlineLevelRow="0" outlineLevelCol="0"/>
  <cols>
    <col min="1" max="1" width="14" customWidth="true" style="0"/>
    <col min="2" max="2" width="16" customWidth="true" style="0"/>
    <col min="3" max="3" width="26" customWidth="true" style="0"/>
    <col min="4" max="4" width="42" customWidth="true" style="0"/>
    <col min="5" max="5" width="14" customWidth="true" style="0"/>
    <col min="6" max="6" width="22" customWidth="true" style="0"/>
    <col min="7" max="7" width="24" customWidth="true" style="0"/>
    <col min="8" max="8" width="24" customWidth="true" style="0"/>
    <col min="9" max="9" width="24" customWidth="true" style="0"/>
    <col min="10" max="10" width="20" customWidth="true" style="0"/>
  </cols>
  <sheetData>
    <row r="1" spans="1:10" customHeight="1" ht="32">
      <c r="A1" s="1" t="s">
        <v>18</v>
      </c>
    </row>
    <row r="2" spans="1:10" customHeight="1" ht="7"/>
    <row r="3" spans="1:10" customHeight="1" ht="28">
      <c r="A3" s="2" t="s">
        <v>39</v>
      </c>
      <c r="B3" s="2"/>
      <c r="C3" s="2"/>
      <c r="D3" s="2"/>
      <c r="E3" s="2"/>
      <c r="F3" s="2"/>
      <c r="G3" s="2"/>
      <c r="H3" s="2"/>
      <c r="I3" s="2"/>
      <c r="J3" s="2"/>
    </row>
    <row r="4" spans="1:10" customHeight="1" ht="18">
      <c r="A4" s="3" t="s">
        <v>20</v>
      </c>
      <c r="B4" s="3"/>
      <c r="C4" s="3"/>
      <c r="D4" s="3"/>
      <c r="E4" s="3"/>
      <c r="F4" s="3"/>
      <c r="G4" s="3"/>
      <c r="H4" s="3"/>
      <c r="I4" s="3"/>
      <c r="J4" s="3"/>
    </row>
    <row r="5" spans="1:10" customHeight="1" ht="22">
      <c r="A5" s="4" t="s">
        <v>40</v>
      </c>
      <c r="B5" s="4"/>
      <c r="C5" s="4" t="s">
        <v>41</v>
      </c>
      <c r="D5" s="4"/>
      <c r="E5" s="4"/>
      <c r="F5" s="4" t="s">
        <v>42</v>
      </c>
      <c r="G5" s="4"/>
      <c r="H5" s="4"/>
      <c r="I5" s="4"/>
      <c r="J5" s="4" t="s">
        <v>43</v>
      </c>
    </row>
    <row r="6" spans="1:10" customHeight="1" ht="34">
      <c r="A6" s="6" t="s">
        <v>28</v>
      </c>
      <c r="B6" s="7" t="s">
        <v>0</v>
      </c>
      <c r="C6" s="7" t="s">
        <v>1</v>
      </c>
      <c r="D6" s="7" t="s">
        <v>29</v>
      </c>
      <c r="E6" s="7" t="s">
        <v>2</v>
      </c>
      <c r="F6" s="7" t="s">
        <v>30</v>
      </c>
      <c r="G6" s="7" t="s">
        <v>3</v>
      </c>
      <c r="H6" s="7" t="s">
        <v>31</v>
      </c>
      <c r="I6" s="7" t="s">
        <v>5</v>
      </c>
      <c r="J6" s="8" t="s">
        <v>32</v>
      </c>
    </row>
    <row r="7" spans="1:10">
      <c r="A7" s="10" t="s">
        <v>33</v>
      </c>
      <c r="B7" s="14" t="s">
        <v>8</v>
      </c>
      <c r="C7" s="5" t="s">
        <v>9</v>
      </c>
      <c r="D7" s="22" t="s">
        <v>34</v>
      </c>
      <c r="E7" s="12">
        <v>31118.0</v>
      </c>
      <c r="F7" s="16">
        <v>100000000.0</v>
      </c>
      <c r="G7" s="16">
        <v>1000000000.0</v>
      </c>
      <c r="H7" s="16">
        <v>20000000.0</v>
      </c>
      <c r="I7" s="16">
        <v>600000000.0</v>
      </c>
      <c r="J7" s="32" t="s">
        <v>35</v>
      </c>
    </row>
    <row r="8" spans="1:10">
      <c r="A8" s="11" t="s">
        <v>36</v>
      </c>
      <c r="B8" s="15" t="s">
        <v>11</v>
      </c>
      <c r="C8" s="9" t="s">
        <v>12</v>
      </c>
      <c r="D8" s="23" t="s">
        <v>37</v>
      </c>
      <c r="E8" s="13">
        <v>33079.0</v>
      </c>
      <c r="F8" s="17">
        <v>80000000.0</v>
      </c>
      <c r="G8" s="17">
        <v>500000000.0</v>
      </c>
      <c r="H8" s="17">
        <v>15000000.0</v>
      </c>
      <c r="I8" s="17">
        <v>400000000.0</v>
      </c>
      <c r="J8" s="33" t="s">
        <v>38</v>
      </c>
    </row>
    <row r="9" spans="1:10">
      <c r="A9" s="27" t="s">
        <v>17</v>
      </c>
      <c r="B9" s="28"/>
      <c r="C9" s="28"/>
      <c r="D9" s="28"/>
      <c r="E9" s="28"/>
      <c r="F9" s="34">
        <f>SUM(F7:F8)</f>
      </c>
      <c r="G9" s="24"/>
      <c r="H9" s="34">
        <f>SUM(H7:H8)</f>
      </c>
      <c r="I9" s="24"/>
      <c r="J9" s="25"/>
    </row>
    <row r="11" spans="1:10">
      <c r="A11" s="29" t="s">
        <v>24</v>
      </c>
      <c r="F11" s="29" t="s">
        <v>25</v>
      </c>
    </row>
    <row r="12" spans="1:10" customHeight="1" ht="34"/>
    <row r="13" spans="1:10">
      <c r="A13" s="30" t="s">
        <v>26</v>
      </c>
      <c r="F13" s="30" t="s">
        <v>26</v>
      </c>
    </row>
    <row r="15" spans="1:10">
      <c r="A15" s="31" t="s">
        <v>27</v>
      </c>
      <c r="B15" s="31"/>
      <c r="C15" s="31"/>
      <c r="D15" s="31"/>
      <c r="E15" s="31"/>
      <c r="F15" s="31"/>
      <c r="G15" s="31"/>
      <c r="H15" s="31"/>
      <c r="I15" s="31"/>
      <c r="J15" s="31"/>
    </row>
  </sheetData>
  <autoFilter ref="A6:J8"/>
  <mergeCells>
    <mergeCell ref="A1:J1"/>
    <mergeCell ref="A3:J3"/>
    <mergeCell ref="A4:J4"/>
    <mergeCell ref="A5:B5"/>
    <mergeCell ref="C5:E5"/>
    <mergeCell ref="F5:I5"/>
    <mergeCell ref="J5:J5"/>
    <mergeCell ref="A9:E9"/>
    <mergeCell ref="A11:E11"/>
    <mergeCell ref="F11:J11"/>
    <mergeCell ref="A13:E13"/>
    <mergeCell ref="F13:J13"/>
    <mergeCell ref="A15:J15"/>
  </mergeCells>
  <printOptions gridLines="false" gridLinesSet="true"/>
  <pageMargins left="0.5" right="0.5" top="0.6" bottom="0.7" header="0.3" footer="0.3"/>
  <pageSetup paperSize="1" orientation="landscape" scale="100" fitToHeight="0" fitToWidth="1" pageOrder="downThenOver"/>
  <headerFooter differentOddEven="false" differentFirst="false" scaleWithDoc="true" alignWithMargins="true">
    <oddFooter>&amp;LDESWA INVISCO MULTITAMA&amp;CHalaman &amp;P dari &amp;N&amp;RDicetak: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  <pageSetUpPr fitToPage="1"/>
  </sheetPr>
  <dimension ref="A1:C18"/>
  <sheetViews>
    <sheetView tabSelected="0" workbookViewId="0" showGridLines="false" showRowColHeaders="1">
      <pane ySplit="6" activePane="bottomLeft" state="frozen" topLeftCell="A7"/>
      <selection pane="bottomLeft" activeCell="A18" sqref="A18:C18"/>
    </sheetView>
  </sheetViews>
  <sheetFormatPr defaultRowHeight="14.4" outlineLevelRow="0" outlineLevelCol="0"/>
  <cols>
    <col min="1" max="1" width="32" customWidth="true" style="0"/>
    <col min="2" max="2" width="24" customWidth="true" style="0"/>
    <col min="3" max="3" width="52" customWidth="true" style="0"/>
  </cols>
  <sheetData>
    <row r="1" spans="1:3" customHeight="1" ht="32">
      <c r="A1" s="1" t="s">
        <v>18</v>
      </c>
    </row>
    <row r="2" spans="1:3" customHeight="1" ht="7"/>
    <row r="3" spans="1:3" customHeight="1" ht="28">
      <c r="A3" s="2" t="s">
        <v>59</v>
      </c>
      <c r="B3" s="2"/>
      <c r="C3" s="2"/>
    </row>
    <row r="4" spans="1:3" customHeight="1" ht="18">
      <c r="A4" s="3" t="s">
        <v>20</v>
      </c>
      <c r="B4" s="3"/>
      <c r="C4" s="3"/>
    </row>
    <row r="5" spans="1:3" customHeight="1" ht="22">
      <c r="A5" s="4" t="s">
        <v>60</v>
      </c>
      <c r="B5" s="4"/>
      <c r="C5" s="4"/>
    </row>
    <row r="6" spans="1:3" customHeight="1" ht="34">
      <c r="A6" s="6" t="s">
        <v>44</v>
      </c>
      <c r="B6" s="7" t="s">
        <v>45</v>
      </c>
      <c r="C6" s="8" t="s">
        <v>46</v>
      </c>
    </row>
    <row r="7" spans="1:3">
      <c r="A7" s="35" t="s">
        <v>47</v>
      </c>
      <c r="B7" s="36">
        <f>SUM('Borderaux Premi'!H7:H9)</f>
      </c>
      <c r="C7" s="38" t="s">
        <v>48</v>
      </c>
    </row>
    <row r="8" spans="1:3">
      <c r="A8" s="35" t="s">
        <v>49</v>
      </c>
      <c r="B8" s="37">
        <v>0.1</v>
      </c>
      <c r="C8" s="38" t="s">
        <v>50</v>
      </c>
    </row>
    <row r="9" spans="1:3">
      <c r="A9" s="35" t="s">
        <v>51</v>
      </c>
      <c r="B9" s="36">
        <f>B7*B8</f>
      </c>
      <c r="C9" s="38" t="s">
        <v>52</v>
      </c>
    </row>
    <row r="10" spans="1:3">
      <c r="A10" s="35" t="s">
        <v>53</v>
      </c>
      <c r="B10" s="36">
        <f>B7-B9</f>
      </c>
      <c r="C10" s="38" t="s">
        <v>54</v>
      </c>
    </row>
    <row r="11" spans="1:3">
      <c r="A11" s="35" t="s">
        <v>55</v>
      </c>
      <c r="B11" s="36">
        <f>SUM('Borderaux Klaim'!H7:H8)</f>
      </c>
      <c r="C11" s="38" t="s">
        <v>56</v>
      </c>
    </row>
    <row r="12" spans="1:3">
      <c r="A12" s="39" t="s">
        <v>57</v>
      </c>
      <c r="B12" s="40">
        <f>B10-B11</f>
      </c>
      <c r="C12" s="41" t="s">
        <v>58</v>
      </c>
    </row>
    <row r="14" spans="1:3">
      <c r="A14" s="29" t="s">
        <v>24</v>
      </c>
      <c r="B14" s="29" t="s">
        <v>25</v>
      </c>
    </row>
    <row r="15" spans="1:3" customHeight="1" ht="34"/>
    <row r="16" spans="1:3">
      <c r="A16" s="30" t="s">
        <v>26</v>
      </c>
      <c r="B16" s="30" t="s">
        <v>26</v>
      </c>
    </row>
    <row r="18" spans="1:3">
      <c r="A18" s="31" t="s">
        <v>27</v>
      </c>
      <c r="B18" s="31"/>
      <c r="C18" s="31"/>
    </row>
  </sheetData>
  <mergeCells>
    <mergeCell ref="A1:C1"/>
    <mergeCell ref="A3:C3"/>
    <mergeCell ref="A4:C4"/>
    <mergeCell ref="A5:C5"/>
    <mergeCell ref="A14:A14"/>
    <mergeCell ref="B14:C14"/>
    <mergeCell ref="A16:A16"/>
    <mergeCell ref="B16:C16"/>
    <mergeCell ref="A18:C18"/>
  </mergeCells>
  <printOptions gridLines="false" gridLinesSet="true"/>
  <pageMargins left="0.5" right="0.5" top="0.6" bottom="0.7" header="0.3" footer="0.3"/>
  <pageSetup paperSize="1" orientation="landscape" scale="100" fitToHeight="0" fitToWidth="1" pageOrder="downThenOver"/>
  <headerFooter differentOddEven="false" differentFirst="false" scaleWithDoc="true" alignWithMargins="true">
    <oddFooter>&amp;LDESWA INVISCO MULTITAMA&amp;CHalaman &amp;P dari &amp;N&amp;RDicetak: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Borderaux Premi</vt:lpstr>
      <vt:lpstr>Borderaux Klaim</vt:lpstr>
      <vt:lpstr>Ringkasan Keuangan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2026-09-16T14:43:37+00:00</dcterms:created>
  <dcterms:modified xsi:type="dcterms:W3CDTF">2026-09-16T14:43:37+00:00</dcterms:modified>
  <dc:title>Untitled Spreadsheet</dc:title>
  <dc:description/>
  <dc:subject/>
  <cp:keywords/>
  <cp:category/>
</cp:coreProperties>
</file>