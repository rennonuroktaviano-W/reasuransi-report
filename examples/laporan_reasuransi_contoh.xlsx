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deraux Premi" sheetId="1" r:id="rId4"/>
    <sheet name="Borderaux Klaim" sheetId="2" r:id="rId5"/>
    <sheet name="Ringkasan Keuangan" sheetId="3" r:id="rId6"/>
  </sheets>
  <definedNames>
    <definedName name="_xlnm._FilterDatabase" localSheetId="0" hidden="1">'Borderaux Premi'!$A$3:$H$6</definedName>
    <definedName name="_xlnm.Print_Titles" localSheetId="0">'Borderaux Premi'!$3:$3</definedName>
    <definedName name="_xlnm._FilterDatabase" localSheetId="1" hidden="1">'Borderaux Klaim'!$A$3:$J$5</definedName>
    <definedName name="_xlnm.Print_Titles" localSheetId="1">'Borderaux Klaim'!$3:$3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<sst xmlns="http://schemas.openxmlformats.org/spreadsheetml/2006/main" uniqueCount="47">
  <si>
    <t>No Polis</t>
  </si>
  <si>
    <t>Nama Tertanggung</t>
  </si>
  <si>
    <t>Tanggal Lahir</t>
  </si>
  <si>
    <t>Uang Pertanggungan (UP Utama)</t>
  </si>
  <si>
    <t>Sendiri (Retention)</t>
  </si>
  <si>
    <t>UP direasuransikan (Ceded)</t>
  </si>
  <si>
    <t>Jenis Reasuransi</t>
  </si>
  <si>
    <t>Premi Reasuransi</t>
  </si>
  <si>
    <t>POL-0001</t>
  </si>
  <si>
    <t>Budi Santoso</t>
  </si>
  <si>
    <t>Surplus</t>
  </si>
  <si>
    <t>POL-0002</t>
  </si>
  <si>
    <t>Siti Rahmawati</t>
  </si>
  <si>
    <t>Quota Share</t>
  </si>
  <si>
    <t>POL-0003</t>
  </si>
  <si>
    <t>Ahmad Fauzi</t>
  </si>
  <si>
    <t>Fac/Surplus</t>
  </si>
  <si>
    <t>TOTAL</t>
  </si>
  <si>
    <t>Laporan Produksi &amp; Premi Reasuransi (Borderaux Premi)</t>
  </si>
  <si>
    <t>No Klaim</t>
  </si>
  <si>
    <t>Penyebab Meninggal/Klaim</t>
  </si>
  <si>
    <t>Total Nilai Klaim</t>
  </si>
  <si>
    <t>Porsi Klaim Reasuransi (Recovery)</t>
  </si>
  <si>
    <t>Status Klaim</t>
  </si>
  <si>
    <t>KLM-0001</t>
  </si>
  <si>
    <t>Meninggal dunia akibat kecelakaan lalu lintas</t>
  </si>
  <si>
    <t>Approved</t>
  </si>
  <si>
    <t>KLM-0002</t>
  </si>
  <si>
    <t>Diagnosis penyakit kritis (jantung)</t>
  </si>
  <si>
    <t>Under Investigation</t>
  </si>
  <si>
    <t>Laporan Klaim Reasuransi (Borderaux Klaim)</t>
  </si>
  <si>
    <t>Metrik</t>
  </si>
  <si>
    <t>Nilai (Rp)</t>
  </si>
  <si>
    <t>Keterangan</t>
  </si>
  <si>
    <t>Premi Reasuransi Gross</t>
  </si>
  <si>
    <t>Jumlah seluruh premi reasuransi</t>
  </si>
  <si>
    <t>Tarif Komisi Reasuransi</t>
  </si>
  <si>
    <t>Persentase komisi dari premi gross</t>
  </si>
  <si>
    <t>Komisi Reasuransi</t>
  </si>
  <si>
    <t>Premi gross dikali tarif komisi</t>
  </si>
  <si>
    <t>Premi Reasuransi Netto</t>
  </si>
  <si>
    <t>Premi gross dikurangi komisi</t>
  </si>
  <si>
    <t>Recovery Klaim</t>
  </si>
  <si>
    <t>Jumlah seluruh recovery klaim</t>
  </si>
  <si>
    <t>Saldo Netto Setelah Klaim</t>
  </si>
  <si>
    <t>Premi netto dikurangi recovery klaim</t>
  </si>
  <si>
    <t>Ringkasan Akun Keuangan Reasuransi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</si>
</sst>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2E74B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4" borderId="1" applyFont="0" applyNumberFormat="1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3" fillId="4" borderId="1" applyFont="0" applyNumberFormat="1" applyFill="1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4" borderId="1" applyFont="0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3" numFmtId="0" fillId="5" borderId="1" applyFont="1" applyNumberFormat="0" applyFill="1" applyBorder="1" applyAlignment="0"/>
    <xf xfId="0" fontId="3" numFmtId="3" fillId="5" borderId="1" applyFont="1" applyNumberFormat="1" applyFill="1" applyBorder="1" applyAlignment="0"/>
    <xf xfId="0" fontId="0" numFmtId="0" fillId="4" borderId="1" applyFont="0" applyNumberFormat="0" applyFill="1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4" borderId="1" applyFont="0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0" numFmtId="3" fillId="4" borderId="1" applyFont="0" applyNumberFormat="1" applyFill="1" applyBorder="1" applyAlignment="1">
      <alignment horizontal="right" vertical="center" textRotation="0" wrapText="false" shrinkToFit="false"/>
    </xf>
    <xf xfId="0" fontId="0" numFmtId="165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right" vertical="center" textRotation="0" wrapText="false" shrinkToFit="false"/>
    </xf>
    <xf xfId="0" fontId="3" numFmtId="3" fillId="5" borderId="1" applyFont="1" applyNumberFormat="1" applyFill="1" applyBorder="1" applyAlignment="1">
      <alignment horizontal="right" vertical="center" textRotation="0" wrapText="false" shrinkToFit="false"/>
    </xf>
    <xf xfId="0" fontId="0" numFmtId="0" fillId="4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3" numFmtId="0" fillId="5" borderId="1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H7"/>
  <sheetViews>
    <sheetView tabSelected="1" workbookViewId="0" showGridLines="true" showRowColHeaders="1">
      <pane ySplit="3" activePane="bottomLeft" state="frozen" topLeftCell="A4"/>
      <selection pane="bottomLeft" activeCell="H4" sqref="H4:H7"/>
    </sheetView>
  </sheetViews>
  <sheetFormatPr defaultRowHeight="14.4" outlineLevelRow="0" outlineLevelCol="0"/>
  <cols>
    <col min="1" max="1" width="16" customWidth="true" style="0"/>
    <col min="2" max="2" width="30" customWidth="true" style="0"/>
    <col min="3" max="3" width="14" customWidth="true" style="0"/>
    <col min="4" max="4" width="22" customWidth="true" style="0"/>
    <col min="5" max="5" width="20" customWidth="true" style="0"/>
    <col min="6" max="6" width="24" customWidth="true" style="0"/>
    <col min="7" max="7" width="18" customWidth="true" style="0"/>
    <col min="8" max="8" width="22" customWidth="true" style="0"/>
  </cols>
  <sheetData>
    <row r="1" spans="1:8" customHeight="1" ht="28">
      <c r="A1" s="1" t="s">
        <v>18</v>
      </c>
      <c r="B1" s="1"/>
      <c r="C1" s="1"/>
      <c r="D1" s="1"/>
      <c r="E1" s="1"/>
      <c r="F1" s="1"/>
      <c r="G1" s="1"/>
      <c r="H1" s="1"/>
    </row>
    <row r="3" spans="1:8" customHeight="1" ht="3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s="5" t="s">
        <v>8</v>
      </c>
      <c r="B4" s="4" t="s">
        <v>9</v>
      </c>
      <c r="C4" s="7">
        <v>31118.0</v>
      </c>
      <c r="D4" s="9">
        <v>1000000000.0</v>
      </c>
      <c r="E4" s="9">
        <v>400000000.0</v>
      </c>
      <c r="F4" s="9">
        <v>600000000.0</v>
      </c>
      <c r="G4" s="11" t="s">
        <v>10</v>
      </c>
      <c r="H4" s="9">
        <v>30000000.0</v>
      </c>
    </row>
    <row r="5" spans="1:8">
      <c r="A5" s="6" t="s">
        <v>11</v>
      </c>
      <c r="B5" s="3" t="s">
        <v>12</v>
      </c>
      <c r="C5" s="8">
        <v>33079.0</v>
      </c>
      <c r="D5" s="10">
        <v>500000000.0</v>
      </c>
      <c r="E5" s="10">
        <v>100000000.0</v>
      </c>
      <c r="F5" s="10">
        <v>400000000.0</v>
      </c>
      <c r="G5" s="12" t="s">
        <v>13</v>
      </c>
      <c r="H5" s="10">
        <v>15000000.0</v>
      </c>
    </row>
    <row r="6" spans="1:8">
      <c r="A6" s="5" t="s">
        <v>14</v>
      </c>
      <c r="B6" s="4" t="s">
        <v>15</v>
      </c>
      <c r="C6" s="7">
        <v>28796.0</v>
      </c>
      <c r="D6" s="9">
        <v>750000000.0</v>
      </c>
      <c r="E6" s="9">
        <v>350000000.0</v>
      </c>
      <c r="F6" s="9">
        <v>400000000.0</v>
      </c>
      <c r="G6" s="11" t="s">
        <v>16</v>
      </c>
      <c r="H6" s="9">
        <v>15000000.0</v>
      </c>
    </row>
    <row r="7" spans="1:8">
      <c r="A7" s="13" t="s">
        <v>17</v>
      </c>
      <c r="B7" s="13"/>
      <c r="C7" s="13"/>
      <c r="D7" s="13"/>
      <c r="E7" s="13"/>
      <c r="F7" s="13"/>
      <c r="G7" s="13"/>
      <c r="H7" s="14">
        <f>SUM(H4:H6)</f>
      </c>
    </row>
  </sheetData>
  <autoFilter ref="A3:H6"/>
  <mergeCells>
    <mergeCell ref="A1:H1"/>
    <mergeCell ref="A7:G7"/>
  </mergeCells>
  <printOptions gridLines="false" gridLinesSet="true"/>
  <pageMargins left="0.5" right="0.5" top="0.5" bottom="0.5" header="0.3" footer="0.3"/>
  <pageSetup paperSize="1" orientation="landscape" scale="100" fitToHeight="0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J6"/>
  <sheetViews>
    <sheetView tabSelected="0" workbookViewId="0" showGridLines="true" showRowColHeaders="1">
      <pane ySplit="3" activePane="bottomLeft" state="frozen" topLeftCell="A4"/>
      <selection pane="bottomLeft" activeCell="H4" sqref="H4:H6"/>
    </sheetView>
  </sheetViews>
  <sheetFormatPr defaultRowHeight="14.4" outlineLevelRow="0" outlineLevelCol="0"/>
  <cols>
    <col min="1" max="1" width="14" customWidth="true" style="0"/>
    <col min="2" max="2" width="16" customWidth="true" style="0"/>
    <col min="3" max="3" width="26" customWidth="true" style="0"/>
    <col min="4" max="4" width="42" customWidth="true" style="0"/>
    <col min="5" max="5" width="14" customWidth="true" style="0"/>
    <col min="6" max="6" width="22" customWidth="true" style="0"/>
    <col min="7" max="7" width="24" customWidth="true" style="0"/>
    <col min="8" max="8" width="24" customWidth="true" style="0"/>
    <col min="9" max="9" width="24" customWidth="true" style="0"/>
    <col min="10" max="10" width="20" customWidth="true" style="0"/>
  </cols>
  <sheetData>
    <row r="1" spans="1:10" customHeight="1" ht="28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3" spans="1:10" customHeight="1" ht="32">
      <c r="A3" s="2" t="s">
        <v>19</v>
      </c>
      <c r="B3" s="2" t="s">
        <v>0</v>
      </c>
      <c r="C3" s="2" t="s">
        <v>1</v>
      </c>
      <c r="D3" s="2" t="s">
        <v>20</v>
      </c>
      <c r="E3" s="2" t="s">
        <v>2</v>
      </c>
      <c r="F3" s="2" t="s">
        <v>21</v>
      </c>
      <c r="G3" s="2" t="s">
        <v>3</v>
      </c>
      <c r="H3" s="2" t="s">
        <v>22</v>
      </c>
      <c r="I3" s="2" t="s">
        <v>5</v>
      </c>
      <c r="J3" s="2" t="s">
        <v>23</v>
      </c>
    </row>
    <row r="4" spans="1:10">
      <c r="A4" s="5" t="s">
        <v>24</v>
      </c>
      <c r="B4" s="5" t="s">
        <v>8</v>
      </c>
      <c r="C4" s="4" t="s">
        <v>9</v>
      </c>
      <c r="D4" s="15" t="s">
        <v>25</v>
      </c>
      <c r="E4" s="7">
        <v>31118.0</v>
      </c>
      <c r="F4" s="9">
        <v>100000000.0</v>
      </c>
      <c r="G4" s="9">
        <v>1000000000.0</v>
      </c>
      <c r="H4" s="9">
        <v>20000000.0</v>
      </c>
      <c r="I4" s="9">
        <v>600000000.0</v>
      </c>
      <c r="J4" s="17" t="s">
        <v>26</v>
      </c>
    </row>
    <row r="5" spans="1:10">
      <c r="A5" s="6" t="s">
        <v>27</v>
      </c>
      <c r="B5" s="6" t="s">
        <v>11</v>
      </c>
      <c r="C5" s="3" t="s">
        <v>12</v>
      </c>
      <c r="D5" s="16" t="s">
        <v>28</v>
      </c>
      <c r="E5" s="8">
        <v>33079.0</v>
      </c>
      <c r="F5" s="10">
        <v>80000000.0</v>
      </c>
      <c r="G5" s="10">
        <v>500000000.0</v>
      </c>
      <c r="H5" s="10">
        <v>15000000.0</v>
      </c>
      <c r="I5" s="10">
        <v>400000000.0</v>
      </c>
      <c r="J5" s="18" t="s">
        <v>29</v>
      </c>
    </row>
    <row r="6" spans="1:10">
      <c r="A6" s="13" t="s">
        <v>17</v>
      </c>
      <c r="B6" s="13"/>
      <c r="C6" s="13"/>
      <c r="D6" s="13"/>
      <c r="E6" s="13"/>
      <c r="F6" s="14">
        <f>SUM(F4:F5)</f>
      </c>
      <c r="G6" s="13"/>
      <c r="H6" s="14">
        <f>SUM(H4:H5)</f>
      </c>
      <c r="I6" s="13"/>
      <c r="J6" s="13"/>
    </row>
  </sheetData>
  <autoFilter ref="A3:J5"/>
  <mergeCells>
    <mergeCell ref="A1:J1"/>
    <mergeCell ref="A6:E6"/>
  </mergeCells>
  <printOptions gridLines="false" gridLinesSet="true"/>
  <pageMargins left="0.5" right="0.5" top="0.5" bottom="0.5" header="0.3" footer="0.3"/>
  <pageSetup paperSize="1" orientation="landscape" scale="100" fitToHeight="0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9"/>
    </sheetView>
  </sheetViews>
  <sheetFormatPr defaultRowHeight="14.4" outlineLevelRow="0" outlineLevelCol="0"/>
  <cols>
    <col min="1" max="1" width="32" customWidth="true" style="0"/>
    <col min="2" max="2" width="24" customWidth="true" style="0"/>
    <col min="3" max="3" width="46" customWidth="true" style="0"/>
  </cols>
  <sheetData>
    <row r="1" spans="1:3" customHeight="1" ht="28">
      <c r="A1" s="1" t="s">
        <v>46</v>
      </c>
      <c r="B1" s="1"/>
      <c r="C1" s="1"/>
    </row>
    <row r="3" spans="1:3" customHeight="1" ht="32">
      <c r="A3" s="2" t="s">
        <v>31</v>
      </c>
      <c r="B3" s="2" t="s">
        <v>32</v>
      </c>
      <c r="C3" s="2" t="s">
        <v>33</v>
      </c>
    </row>
    <row r="4" spans="1:3">
      <c r="A4" s="19" t="s">
        <v>34</v>
      </c>
      <c r="B4" s="22">
        <f>SUM('Borderaux Premi'!H4:H6)</f>
      </c>
      <c r="C4" s="26" t="s">
        <v>35</v>
      </c>
    </row>
    <row r="5" spans="1:3">
      <c r="A5" s="20" t="s">
        <v>36</v>
      </c>
      <c r="B5" s="23">
        <v>0.1</v>
      </c>
      <c r="C5" s="27" t="s">
        <v>37</v>
      </c>
    </row>
    <row r="6" spans="1:3">
      <c r="A6" s="19" t="s">
        <v>38</v>
      </c>
      <c r="B6" s="22">
        <f>B4*B5</f>
      </c>
      <c r="C6" s="26" t="s">
        <v>39</v>
      </c>
    </row>
    <row r="7" spans="1:3">
      <c r="A7" s="20" t="s">
        <v>40</v>
      </c>
      <c r="B7" s="24">
        <f>B4-B6</f>
      </c>
      <c r="C7" s="27" t="s">
        <v>41</v>
      </c>
    </row>
    <row r="8" spans="1:3">
      <c r="A8" s="19" t="s">
        <v>42</v>
      </c>
      <c r="B8" s="22">
        <f>SUM('Borderaux Klaim'!H4:H5)</f>
      </c>
      <c r="C8" s="26" t="s">
        <v>43</v>
      </c>
    </row>
    <row r="9" spans="1:3">
      <c r="A9" s="21" t="s">
        <v>44</v>
      </c>
      <c r="B9" s="25">
        <f>B7-B8</f>
      </c>
      <c r="C9" s="28" t="s">
        <v>45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Borderaux Premi</vt:lpstr>
      <vt:lpstr>Borderaux Klaim</vt:lpstr>
      <vt:lpstr>Ringkasan Keuangan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2026-09-16T13:54:00+00:00</dcterms:created>
  <dcterms:modified xsi:type="dcterms:W3CDTF">2026-09-16T13:54:00+00:00</dcterms:modified>
  <dc:title>Untitled Spreadsheet</dc:title>
  <dc:description/>
  <dc:subject/>
  <cp:keywords/>
  <cp:category/>
</cp:coreProperties>
</file>